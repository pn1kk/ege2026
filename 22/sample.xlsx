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ku\Downloads\"/>
    </mc:Choice>
  </mc:AlternateContent>
  <xr:revisionPtr revIDLastSave="0" documentId="8_{29D9194F-8B5F-4355-A866-92A012E8D707}" xr6:coauthVersionLast="47" xr6:coauthVersionMax="47" xr10:uidLastSave="{00000000-0000-0000-0000-000000000000}"/>
  <bookViews>
    <workbookView xWindow="-96" yWindow="-96" windowWidth="19992" windowHeight="12672" tabRatio="5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21" i="1" l="1"/>
  <c r="K22" i="1"/>
  <c r="F16" i="1"/>
  <c r="H16" i="1" s="1"/>
  <c r="I16" i="1" s="1"/>
  <c r="K15" i="1" s="1"/>
  <c r="F18" i="1"/>
  <c r="H18" i="1" s="1"/>
  <c r="I18" i="1" s="1"/>
  <c r="K17" i="1" s="1"/>
  <c r="F19" i="1"/>
  <c r="H19" i="1" s="1"/>
  <c r="I19" i="1" s="1"/>
  <c r="F21" i="1"/>
  <c r="H21" i="1" s="1"/>
  <c r="I21" i="1" s="1"/>
  <c r="F22" i="1"/>
  <c r="G2" i="1"/>
  <c r="G15" i="1" l="1"/>
  <c r="K20" i="1"/>
  <c r="G14" i="1"/>
  <c r="F2" i="1"/>
  <c r="F14" i="1"/>
  <c r="K18" i="1"/>
  <c r="F3" i="1"/>
  <c r="F13" i="1"/>
  <c r="F8" i="1"/>
  <c r="F4" i="1"/>
  <c r="F20" i="1"/>
  <c r="F15" i="1"/>
  <c r="H15" i="1" s="1"/>
  <c r="I15" i="1" s="1"/>
  <c r="K14" i="1" s="1"/>
  <c r="H14" i="1"/>
  <c r="I14" i="1" s="1"/>
  <c r="K13" i="1" s="1"/>
  <c r="G8" i="1"/>
  <c r="H8" i="1" s="1"/>
  <c r="I8" i="1" s="1"/>
  <c r="K7" i="1" s="1"/>
  <c r="G4" i="1"/>
  <c r="G13" i="1"/>
  <c r="H13" i="1" s="1"/>
  <c r="I13" i="1" s="1"/>
  <c r="G3" i="1"/>
  <c r="G20" i="1"/>
  <c r="H2" i="1"/>
  <c r="I2" i="1" s="1"/>
  <c r="F9" i="1" l="1"/>
  <c r="K12" i="1"/>
  <c r="H3" i="1"/>
  <c r="I3" i="1" s="1"/>
  <c r="F5" i="1"/>
  <c r="F6" i="1"/>
  <c r="F7" i="1"/>
  <c r="F10" i="1"/>
  <c r="H20" i="1"/>
  <c r="I20" i="1" s="1"/>
  <c r="K19" i="1" s="1"/>
  <c r="H4" i="1"/>
  <c r="I4" i="1" s="1"/>
  <c r="G12" i="1" s="1"/>
  <c r="G9" i="1"/>
  <c r="G10" i="1"/>
  <c r="G7" i="1"/>
  <c r="G5" i="1"/>
  <c r="G6" i="1"/>
  <c r="F11" i="1" l="1"/>
  <c r="K2" i="1"/>
  <c r="G11" i="1"/>
  <c r="H11" i="1" s="1"/>
  <c r="I11" i="1" s="1"/>
  <c r="K10" i="1" s="1"/>
  <c r="F12" i="1"/>
  <c r="H12" i="1" s="1"/>
  <c r="I12" i="1" s="1"/>
  <c r="K11" i="1" s="1"/>
  <c r="K3" i="1"/>
  <c r="H5" i="1"/>
  <c r="I5" i="1" s="1"/>
  <c r="K4" i="1" s="1"/>
  <c r="H9" i="1"/>
  <c r="I9" i="1" s="1"/>
  <c r="K8" i="1" s="1"/>
  <c r="H7" i="1"/>
  <c r="I7" i="1" s="1"/>
  <c r="H10" i="1"/>
  <c r="I10" i="1" s="1"/>
  <c r="K9" i="1" s="1"/>
  <c r="H6" i="1"/>
  <c r="I6" i="1" s="1"/>
  <c r="K5" i="1" s="1"/>
  <c r="F17" i="1" l="1"/>
  <c r="K6" i="1"/>
  <c r="G17" i="1"/>
  <c r="H17" i="1" l="1"/>
  <c r="I17" i="1" s="1"/>
  <c r="K16" i="1" s="1"/>
</calcChain>
</file>

<file path=xl/sharedStrings.xml><?xml version="1.0" encoding="utf-8"?>
<sst xmlns="http://schemas.openxmlformats.org/spreadsheetml/2006/main" count="18" uniqueCount="17">
  <si>
    <t>ID процесса</t>
  </si>
  <si>
    <t>Время выполнения процесса (мс)</t>
  </si>
  <si>
    <t>ID поставщиков данных</t>
  </si>
  <si>
    <t>17;18</t>
  </si>
  <si>
    <t>15;18</t>
  </si>
  <si>
    <t>13;14</t>
  </si>
  <si>
    <t>15;20</t>
  </si>
  <si>
    <t>12;20</t>
  </si>
  <si>
    <t>3;20</t>
  </si>
  <si>
    <t>6;20</t>
  </si>
  <si>
    <t>зав 1</t>
  </si>
  <si>
    <t>зав 2</t>
  </si>
  <si>
    <t>вр зав 1</t>
  </si>
  <si>
    <t>вр зав 2</t>
  </si>
  <si>
    <t>вр начала</t>
  </si>
  <si>
    <t>вр зав</t>
  </si>
  <si>
    <t>завершился ли к 60 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</si>
</sst>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Normal="100" workbookViewId="0">
      <selection activeCell="F2" sqref="F2"/>
    </sheetView>
  </sheetViews>
  <sheetFormatPr defaultColWidth="11.5546875" defaultRowHeight="12.3" x14ac:dyDescent="0.4"/>
  <cols>
    <col min="1" max="1" width="11.5" style="1"/>
    <col min="2" max="2" width="15.83203125" style="1" customWidth="1"/>
    <col min="3" max="3" width="14.83203125" style="1" customWidth="1"/>
  </cols>
  <sheetData>
    <row r="1" spans="1:11" ht="36.9" x14ac:dyDescent="0.4">
      <c r="A1" s="2" t="s">
        <v>0</v>
      </c>
      <c r="B1" s="2" t="s">
        <v>1</v>
      </c>
      <c r="C1" s="2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K1" s="2" t="s">
        <v>16</v>
      </c>
    </row>
    <row r="2" spans="1:11" x14ac:dyDescent="0.4">
      <c r="A2" s="1">
        <v>1</v>
      </c>
      <c r="B2" s="1">
        <v>20</v>
      </c>
      <c r="C2" s="1">
        <v>18</v>
      </c>
      <c r="D2" s="1">
        <v>18</v>
      </c>
      <c r="F2">
        <f>VLOOKUP(D2,$A:$I,9,0)</f>
        <v>34</v>
      </c>
      <c r="G2">
        <f>VLOOKUP(E2,$A:$J,9,0)</f>
        <v>0</v>
      </c>
      <c r="H2">
        <f>MAX(F2:G2)+1</f>
        <v>35</v>
      </c>
      <c r="I2">
        <f>H2+B2-1</f>
        <v>54</v>
      </c>
      <c r="K2">
        <f>IF(I3&gt;60, 0, 1)</f>
        <v>1</v>
      </c>
    </row>
    <row r="3" spans="1:11" x14ac:dyDescent="0.4">
      <c r="A3" s="1">
        <v>2</v>
      </c>
      <c r="B3" s="1">
        <v>17</v>
      </c>
      <c r="C3" s="1" t="s">
        <v>3</v>
      </c>
      <c r="D3">
        <v>17</v>
      </c>
      <c r="E3" s="1">
        <v>18</v>
      </c>
      <c r="F3">
        <f t="shared" ref="F3:F22" si="0">VLOOKUP(D3,$A:$I,9,0)</f>
        <v>23</v>
      </c>
      <c r="G3">
        <f t="shared" ref="G3:G15" si="1">VLOOKUP(D3,$A:$J,9,0)</f>
        <v>23</v>
      </c>
      <c r="H3">
        <f t="shared" ref="H3:H22" si="2">MAX(F3:G3)+1</f>
        <v>24</v>
      </c>
      <c r="I3">
        <f t="shared" ref="I3:I22" si="3">H3+B3-1</f>
        <v>40</v>
      </c>
      <c r="K3">
        <f t="shared" ref="K3:K22" si="4">IF(I4&gt;60, 0, 1)</f>
        <v>1</v>
      </c>
    </row>
    <row r="4" spans="1:11" x14ac:dyDescent="0.4">
      <c r="A4" s="1">
        <v>3</v>
      </c>
      <c r="B4" s="1">
        <v>11</v>
      </c>
      <c r="C4" s="1" t="s">
        <v>4</v>
      </c>
      <c r="D4">
        <v>15</v>
      </c>
      <c r="E4" s="1">
        <v>18</v>
      </c>
      <c r="F4">
        <f t="shared" si="0"/>
        <v>28</v>
      </c>
      <c r="G4">
        <f t="shared" si="1"/>
        <v>28</v>
      </c>
      <c r="H4">
        <f t="shared" si="2"/>
        <v>29</v>
      </c>
      <c r="I4">
        <f t="shared" si="3"/>
        <v>39</v>
      </c>
      <c r="K4">
        <f t="shared" si="4"/>
        <v>0</v>
      </c>
    </row>
    <row r="5" spans="1:11" x14ac:dyDescent="0.4">
      <c r="A5" s="1">
        <v>4</v>
      </c>
      <c r="B5" s="1">
        <v>27</v>
      </c>
      <c r="C5" s="1" t="s">
        <v>5</v>
      </c>
      <c r="D5">
        <v>13</v>
      </c>
      <c r="E5" s="1">
        <v>14</v>
      </c>
      <c r="F5">
        <f t="shared" si="0"/>
        <v>72</v>
      </c>
      <c r="G5">
        <f t="shared" si="1"/>
        <v>72</v>
      </c>
      <c r="H5">
        <f t="shared" si="2"/>
        <v>73</v>
      </c>
      <c r="I5">
        <f t="shared" si="3"/>
        <v>99</v>
      </c>
      <c r="K5">
        <f t="shared" si="4"/>
        <v>0</v>
      </c>
    </row>
    <row r="6" spans="1:11" x14ac:dyDescent="0.4">
      <c r="A6" s="1">
        <v>5</v>
      </c>
      <c r="B6" s="1">
        <v>34</v>
      </c>
      <c r="C6" s="1">
        <v>13</v>
      </c>
      <c r="D6" s="1">
        <v>13</v>
      </c>
      <c r="F6">
        <f t="shared" si="0"/>
        <v>72</v>
      </c>
      <c r="G6">
        <f t="shared" si="1"/>
        <v>72</v>
      </c>
      <c r="H6">
        <f t="shared" si="2"/>
        <v>73</v>
      </c>
      <c r="I6">
        <f t="shared" si="3"/>
        <v>106</v>
      </c>
      <c r="K6">
        <f t="shared" si="4"/>
        <v>0</v>
      </c>
    </row>
    <row r="7" spans="1:11" x14ac:dyDescent="0.4">
      <c r="A7" s="1">
        <v>6</v>
      </c>
      <c r="B7" s="1">
        <v>25</v>
      </c>
      <c r="C7" s="1">
        <v>1</v>
      </c>
      <c r="D7" s="1">
        <v>1</v>
      </c>
      <c r="F7">
        <f t="shared" si="0"/>
        <v>54</v>
      </c>
      <c r="G7">
        <f t="shared" si="1"/>
        <v>54</v>
      </c>
      <c r="H7">
        <f t="shared" si="2"/>
        <v>55</v>
      </c>
      <c r="I7">
        <f t="shared" si="3"/>
        <v>79</v>
      </c>
      <c r="K7">
        <f t="shared" si="4"/>
        <v>1</v>
      </c>
    </row>
    <row r="8" spans="1:11" x14ac:dyDescent="0.4">
      <c r="A8" s="1">
        <v>7</v>
      </c>
      <c r="B8" s="1">
        <v>27</v>
      </c>
      <c r="C8" s="1" t="s">
        <v>6</v>
      </c>
      <c r="D8">
        <v>15</v>
      </c>
      <c r="E8" s="1">
        <v>20</v>
      </c>
      <c r="F8">
        <f t="shared" si="0"/>
        <v>28</v>
      </c>
      <c r="G8">
        <f t="shared" si="1"/>
        <v>28</v>
      </c>
      <c r="H8">
        <f t="shared" si="2"/>
        <v>29</v>
      </c>
      <c r="I8">
        <f t="shared" si="3"/>
        <v>55</v>
      </c>
      <c r="K8">
        <f t="shared" si="4"/>
        <v>1</v>
      </c>
    </row>
    <row r="9" spans="1:11" x14ac:dyDescent="0.4">
      <c r="A9" s="1">
        <v>8</v>
      </c>
      <c r="B9" s="1">
        <v>12</v>
      </c>
      <c r="C9" s="1" t="s">
        <v>7</v>
      </c>
      <c r="D9">
        <v>12</v>
      </c>
      <c r="E9" s="1">
        <v>20</v>
      </c>
      <c r="F9">
        <f t="shared" si="0"/>
        <v>47</v>
      </c>
      <c r="G9">
        <f t="shared" si="1"/>
        <v>47</v>
      </c>
      <c r="H9">
        <f t="shared" si="2"/>
        <v>48</v>
      </c>
      <c r="I9">
        <f t="shared" si="3"/>
        <v>59</v>
      </c>
      <c r="K9">
        <f t="shared" si="4"/>
        <v>0</v>
      </c>
    </row>
    <row r="10" spans="1:11" x14ac:dyDescent="0.4">
      <c r="A10" s="1">
        <v>9</v>
      </c>
      <c r="B10" s="1">
        <v>38</v>
      </c>
      <c r="C10" s="1">
        <v>1</v>
      </c>
      <c r="D10" s="1">
        <v>1</v>
      </c>
      <c r="F10">
        <f t="shared" si="0"/>
        <v>54</v>
      </c>
      <c r="G10">
        <f t="shared" si="1"/>
        <v>54</v>
      </c>
      <c r="H10">
        <f t="shared" si="2"/>
        <v>55</v>
      </c>
      <c r="I10">
        <f t="shared" si="3"/>
        <v>92</v>
      </c>
      <c r="K10">
        <f t="shared" si="4"/>
        <v>1</v>
      </c>
    </row>
    <row r="11" spans="1:11" x14ac:dyDescent="0.4">
      <c r="A11" s="1">
        <v>10</v>
      </c>
      <c r="B11" s="1">
        <v>4</v>
      </c>
      <c r="C11" s="1">
        <v>2</v>
      </c>
      <c r="D11" s="1">
        <v>2</v>
      </c>
      <c r="F11">
        <f t="shared" si="0"/>
        <v>40</v>
      </c>
      <c r="G11">
        <f t="shared" si="1"/>
        <v>40</v>
      </c>
      <c r="H11">
        <f t="shared" si="2"/>
        <v>41</v>
      </c>
      <c r="I11">
        <f t="shared" si="3"/>
        <v>44</v>
      </c>
      <c r="K11">
        <f t="shared" si="4"/>
        <v>1</v>
      </c>
    </row>
    <row r="12" spans="1:11" x14ac:dyDescent="0.4">
      <c r="A12" s="1">
        <v>11</v>
      </c>
      <c r="B12" s="1">
        <v>18</v>
      </c>
      <c r="C12" s="1" t="s">
        <v>8</v>
      </c>
      <c r="D12" s="1">
        <v>3</v>
      </c>
      <c r="E12" s="1">
        <v>20</v>
      </c>
      <c r="F12">
        <f t="shared" si="0"/>
        <v>39</v>
      </c>
      <c r="G12">
        <f t="shared" si="1"/>
        <v>39</v>
      </c>
      <c r="H12">
        <f t="shared" si="2"/>
        <v>40</v>
      </c>
      <c r="I12">
        <f t="shared" si="3"/>
        <v>57</v>
      </c>
      <c r="K12">
        <f t="shared" si="4"/>
        <v>1</v>
      </c>
    </row>
    <row r="13" spans="1:11" x14ac:dyDescent="0.4">
      <c r="A13" s="1">
        <v>12</v>
      </c>
      <c r="B13" s="1">
        <v>24</v>
      </c>
      <c r="C13" s="1">
        <v>17</v>
      </c>
      <c r="D13" s="1">
        <v>17</v>
      </c>
      <c r="F13">
        <f t="shared" si="0"/>
        <v>23</v>
      </c>
      <c r="G13">
        <f t="shared" si="1"/>
        <v>23</v>
      </c>
      <c r="H13">
        <f t="shared" si="2"/>
        <v>24</v>
      </c>
      <c r="I13">
        <f t="shared" si="3"/>
        <v>47</v>
      </c>
      <c r="K13">
        <f t="shared" si="4"/>
        <v>0</v>
      </c>
    </row>
    <row r="14" spans="1:11" x14ac:dyDescent="0.4">
      <c r="A14" s="1">
        <v>13</v>
      </c>
      <c r="B14" s="1">
        <v>38</v>
      </c>
      <c r="C14" s="1">
        <v>18</v>
      </c>
      <c r="D14" s="1">
        <v>18</v>
      </c>
      <c r="F14">
        <f t="shared" si="0"/>
        <v>34</v>
      </c>
      <c r="G14">
        <f t="shared" si="1"/>
        <v>34</v>
      </c>
      <c r="H14">
        <f t="shared" si="2"/>
        <v>35</v>
      </c>
      <c r="I14">
        <f t="shared" si="3"/>
        <v>72</v>
      </c>
      <c r="K14">
        <f t="shared" si="4"/>
        <v>0</v>
      </c>
    </row>
    <row r="15" spans="1:11" x14ac:dyDescent="0.4">
      <c r="A15" s="1">
        <v>14</v>
      </c>
      <c r="B15" s="1">
        <v>34</v>
      </c>
      <c r="C15" s="1">
        <v>20</v>
      </c>
      <c r="D15" s="1">
        <v>20</v>
      </c>
      <c r="F15">
        <f t="shared" si="0"/>
        <v>36</v>
      </c>
      <c r="G15">
        <f t="shared" si="1"/>
        <v>36</v>
      </c>
      <c r="H15">
        <f t="shared" si="2"/>
        <v>37</v>
      </c>
      <c r="I15">
        <f t="shared" si="3"/>
        <v>70</v>
      </c>
      <c r="K15">
        <f t="shared" si="4"/>
        <v>1</v>
      </c>
    </row>
    <row r="16" spans="1:11" x14ac:dyDescent="0.4">
      <c r="A16" s="1">
        <v>15</v>
      </c>
      <c r="B16" s="1">
        <v>28</v>
      </c>
      <c r="C16" s="1">
        <v>0</v>
      </c>
      <c r="D16" s="1">
        <v>0</v>
      </c>
      <c r="F16">
        <f t="shared" si="0"/>
        <v>0</v>
      </c>
      <c r="G16">
        <v>0</v>
      </c>
      <c r="H16">
        <f t="shared" si="2"/>
        <v>1</v>
      </c>
      <c r="I16">
        <f t="shared" si="3"/>
        <v>28</v>
      </c>
      <c r="K16">
        <f t="shared" si="4"/>
        <v>0</v>
      </c>
    </row>
    <row r="17" spans="1:11" x14ac:dyDescent="0.4">
      <c r="A17" s="1">
        <v>16</v>
      </c>
      <c r="B17" s="1">
        <v>23</v>
      </c>
      <c r="C17" s="1" t="s">
        <v>9</v>
      </c>
      <c r="D17" s="1">
        <v>6</v>
      </c>
      <c r="E17" s="1">
        <v>20</v>
      </c>
      <c r="F17">
        <f t="shared" si="0"/>
        <v>79</v>
      </c>
      <c r="G17">
        <f>VLOOKUP(D17,$A:$J,9,0)</f>
        <v>79</v>
      </c>
      <c r="H17">
        <f t="shared" si="2"/>
        <v>80</v>
      </c>
      <c r="I17">
        <f t="shared" si="3"/>
        <v>102</v>
      </c>
      <c r="K17">
        <f t="shared" si="4"/>
        <v>1</v>
      </c>
    </row>
    <row r="18" spans="1:11" x14ac:dyDescent="0.4">
      <c r="A18" s="1">
        <v>17</v>
      </c>
      <c r="B18" s="1">
        <v>23</v>
      </c>
      <c r="C18" s="1">
        <v>0</v>
      </c>
      <c r="D18" s="1">
        <v>0</v>
      </c>
      <c r="F18">
        <f t="shared" si="0"/>
        <v>0</v>
      </c>
      <c r="G18">
        <v>0</v>
      </c>
      <c r="H18">
        <f t="shared" si="2"/>
        <v>1</v>
      </c>
      <c r="I18">
        <f t="shared" si="3"/>
        <v>23</v>
      </c>
      <c r="K18">
        <f t="shared" si="4"/>
        <v>1</v>
      </c>
    </row>
    <row r="19" spans="1:11" x14ac:dyDescent="0.4">
      <c r="A19" s="1">
        <v>18</v>
      </c>
      <c r="B19" s="1">
        <v>34</v>
      </c>
      <c r="C19" s="1">
        <v>0</v>
      </c>
      <c r="D19" s="1">
        <v>0</v>
      </c>
      <c r="F19">
        <f t="shared" si="0"/>
        <v>0</v>
      </c>
      <c r="G19">
        <v>0</v>
      </c>
      <c r="H19">
        <f t="shared" si="2"/>
        <v>1</v>
      </c>
      <c r="I19">
        <f t="shared" si="3"/>
        <v>34</v>
      </c>
      <c r="K19">
        <f t="shared" si="4"/>
        <v>1</v>
      </c>
    </row>
    <row r="20" spans="1:11" x14ac:dyDescent="0.4">
      <c r="A20" s="1">
        <v>19</v>
      </c>
      <c r="B20" s="1">
        <v>7</v>
      </c>
      <c r="C20" s="1" t="s">
        <v>4</v>
      </c>
      <c r="D20" s="1">
        <v>15</v>
      </c>
      <c r="E20" s="1">
        <v>18</v>
      </c>
      <c r="F20">
        <f t="shared" si="0"/>
        <v>28</v>
      </c>
      <c r="G20">
        <f>VLOOKUP(D20,$A:$J,9,0)</f>
        <v>28</v>
      </c>
      <c r="H20">
        <f t="shared" si="2"/>
        <v>29</v>
      </c>
      <c r="I20">
        <f t="shared" si="3"/>
        <v>35</v>
      </c>
      <c r="K20">
        <f t="shared" si="4"/>
        <v>1</v>
      </c>
    </row>
    <row r="21" spans="1:11" x14ac:dyDescent="0.4">
      <c r="A21" s="1">
        <v>20</v>
      </c>
      <c r="B21" s="1">
        <v>36</v>
      </c>
      <c r="C21" s="1">
        <v>0</v>
      </c>
      <c r="D21" s="1">
        <v>0</v>
      </c>
      <c r="F21">
        <f t="shared" si="0"/>
        <v>0</v>
      </c>
      <c r="G21">
        <v>0</v>
      </c>
      <c r="H21">
        <f t="shared" si="2"/>
        <v>1</v>
      </c>
      <c r="I21">
        <f t="shared" si="3"/>
        <v>36</v>
      </c>
      <c r="K21">
        <f t="shared" si="4"/>
        <v>1</v>
      </c>
    </row>
    <row r="22" spans="1:11" x14ac:dyDescent="0.4">
      <c r="A22" s="1">
        <v>0</v>
      </c>
      <c r="B22" s="1">
        <v>0</v>
      </c>
      <c r="C22" s="1">
        <v>0</v>
      </c>
      <c r="D22" s="1">
        <v>0</v>
      </c>
      <c r="E22" s="1">
        <v>0</v>
      </c>
      <c r="F22">
        <f t="shared" si="0"/>
        <v>0</v>
      </c>
      <c r="G22" s="1">
        <v>0</v>
      </c>
      <c r="H22">
        <v>0</v>
      </c>
      <c r="I22">
        <v>0</v>
      </c>
      <c r="K22">
        <f t="shared" si="4"/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Polina Nikulina</dc:creator>
  <dc:description/>
  <cp:lastModifiedBy>Polina Nikulina</cp:lastModifiedBy>
  <cp:revision>1</cp:revision>
  <dcterms:created xsi:type="dcterms:W3CDTF">2023-02-06T14:28:22Z</dcterms:created>
  <dcterms:modified xsi:type="dcterms:W3CDTF">2026-03-29T14:55:40Z</dcterms:modified>
  <dc:language>ru-RU</dc:language>
</cp:coreProperties>
</file>